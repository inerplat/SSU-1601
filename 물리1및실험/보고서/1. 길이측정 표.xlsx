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동현\Desktop\"/>
    </mc:Choice>
  </mc:AlternateContent>
  <bookViews>
    <workbookView xWindow="0" yWindow="0" windowWidth="15360" windowHeight="1255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I19" i="1"/>
  <c r="B19" i="1"/>
  <c r="C18" i="1"/>
  <c r="D18" i="1"/>
  <c r="E18" i="1"/>
  <c r="F18" i="1"/>
  <c r="G18" i="1"/>
  <c r="H18" i="1"/>
  <c r="I18" i="1"/>
  <c r="B18" i="1"/>
  <c r="C17" i="1"/>
  <c r="D17" i="1"/>
  <c r="E17" i="1"/>
  <c r="F17" i="1"/>
  <c r="G17" i="1"/>
  <c r="H17" i="1"/>
  <c r="I17" i="1"/>
  <c r="B17" i="1"/>
  <c r="C9" i="1"/>
  <c r="D9" i="1"/>
  <c r="E9" i="1"/>
  <c r="F9" i="1"/>
  <c r="G9" i="1"/>
  <c r="H9" i="1"/>
  <c r="I9" i="1"/>
  <c r="B9" i="1"/>
  <c r="C8" i="1"/>
  <c r="D8" i="1"/>
  <c r="E8" i="1"/>
  <c r="F8" i="1"/>
  <c r="G8" i="1"/>
  <c r="H8" i="1"/>
  <c r="I8" i="1"/>
  <c r="B8" i="1"/>
  <c r="C7" i="1"/>
  <c r="D7" i="1"/>
  <c r="E7" i="1"/>
  <c r="F7" i="1"/>
  <c r="G7" i="1"/>
  <c r="H7" i="1"/>
  <c r="I7" i="1"/>
  <c r="B7" i="1"/>
</calcChain>
</file>

<file path=xl/sharedStrings.xml><?xml version="1.0" encoding="utf-8"?>
<sst xmlns="http://schemas.openxmlformats.org/spreadsheetml/2006/main" count="34" uniqueCount="24">
  <si>
    <t>①의 지름</t>
  </si>
  <si>
    <t>①의 높이</t>
  </si>
  <si>
    <t>②의 높이</t>
  </si>
  <si>
    <t>②의 지름</t>
  </si>
  <si>
    <t>③의 지름</t>
  </si>
  <si>
    <t>③의 높이</t>
  </si>
  <si>
    <t>④의 깊이</t>
  </si>
  <si>
    <t>④의 지름</t>
  </si>
  <si>
    <t>실측 값</t>
    <phoneticPr fontId="1" type="noConversion"/>
  </si>
  <si>
    <t>표준 편차</t>
    <phoneticPr fontId="1" type="noConversion"/>
  </si>
  <si>
    <t>필름</t>
    <phoneticPr fontId="1" type="noConversion"/>
  </si>
  <si>
    <t>A4 1장</t>
    <phoneticPr fontId="1" type="noConversion"/>
  </si>
  <si>
    <t>A4 2장</t>
    <phoneticPr fontId="1" type="noConversion"/>
  </si>
  <si>
    <t>A4 3장</t>
  </si>
  <si>
    <t>A4 4장</t>
  </si>
  <si>
    <t>A4 5장</t>
  </si>
  <si>
    <t>A4 6장</t>
  </si>
  <si>
    <t>샤프심</t>
    <phoneticPr fontId="1" type="noConversion"/>
  </si>
  <si>
    <t>겉보기 평균</t>
    <phoneticPr fontId="1" type="noConversion"/>
  </si>
  <si>
    <t>표준 편차</t>
    <phoneticPr fontId="1" type="noConversion"/>
  </si>
  <si>
    <t>mm</t>
    <phoneticPr fontId="1" type="noConversion"/>
  </si>
  <si>
    <t xml:space="preserve">          물체
단위</t>
    <phoneticPr fontId="1" type="noConversion"/>
  </si>
  <si>
    <t>cm</t>
    <phoneticPr fontId="1" type="noConversion"/>
  </si>
  <si>
    <t>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</si>
</sst>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medium">
        <color auto="1"/>
      </diagonal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21" sqref="A21:I24"/>
    </sheetView>
  </sheetViews>
  <sheetFormatPr defaultRowHeight="17" x14ac:dyDescent="0.45"/>
  <cols>
    <col min="1" max="1" width="11.33203125" customWidth="1"/>
    <col min="2" max="9" width="9.1640625" customWidth="1"/>
  </cols>
  <sheetData>
    <row r="1" spans="1:9" x14ac:dyDescent="0.45">
      <c r="A1" s="2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 s="2">
        <v>1</v>
      </c>
      <c r="B2" s="1">
        <v>21.45</v>
      </c>
      <c r="C2" s="1">
        <v>20.75</v>
      </c>
      <c r="D2" s="1">
        <v>13.1</v>
      </c>
      <c r="E2" s="1">
        <v>13.95</v>
      </c>
      <c r="F2" s="1">
        <v>22.95</v>
      </c>
      <c r="G2" s="1">
        <v>36.6</v>
      </c>
      <c r="H2" s="1">
        <v>19.05</v>
      </c>
      <c r="I2" s="1">
        <v>12</v>
      </c>
    </row>
    <row r="3" spans="1:9" x14ac:dyDescent="0.45">
      <c r="A3" s="2">
        <v>2</v>
      </c>
      <c r="B3" s="1">
        <v>21.5</v>
      </c>
      <c r="C3" s="1">
        <v>20</v>
      </c>
      <c r="D3" s="1">
        <v>13.1</v>
      </c>
      <c r="E3" s="1">
        <v>14</v>
      </c>
      <c r="F3" s="1">
        <v>22</v>
      </c>
      <c r="G3" s="1">
        <v>36.65</v>
      </c>
      <c r="H3" s="1">
        <v>19</v>
      </c>
      <c r="I3" s="1">
        <v>11.95</v>
      </c>
    </row>
    <row r="4" spans="1:9" x14ac:dyDescent="0.45">
      <c r="A4" s="2">
        <v>3</v>
      </c>
      <c r="B4" s="1">
        <v>21.55</v>
      </c>
      <c r="C4" s="1">
        <v>19.7</v>
      </c>
      <c r="D4" s="1">
        <v>13.15</v>
      </c>
      <c r="E4" s="1">
        <v>14</v>
      </c>
      <c r="F4" s="1">
        <v>22.05</v>
      </c>
      <c r="G4" s="1">
        <v>36.6</v>
      </c>
      <c r="H4" s="1">
        <v>19</v>
      </c>
      <c r="I4" s="1">
        <v>11.9</v>
      </c>
    </row>
    <row r="5" spans="1:9" x14ac:dyDescent="0.45">
      <c r="A5" s="2">
        <v>4</v>
      </c>
      <c r="B5" s="1">
        <v>21.55</v>
      </c>
      <c r="C5" s="1">
        <v>20</v>
      </c>
      <c r="D5" s="1">
        <v>13.1</v>
      </c>
      <c r="E5" s="1">
        <v>13.9</v>
      </c>
      <c r="F5" s="1">
        <v>22</v>
      </c>
      <c r="G5" s="1">
        <v>36.700000000000003</v>
      </c>
      <c r="H5" s="1">
        <v>19</v>
      </c>
      <c r="I5" s="1">
        <v>11.95</v>
      </c>
    </row>
    <row r="6" spans="1:9" x14ac:dyDescent="0.45">
      <c r="A6" s="2">
        <v>5</v>
      </c>
      <c r="B6" s="1">
        <v>21.5</v>
      </c>
      <c r="C6" s="1">
        <v>20</v>
      </c>
      <c r="D6" s="1">
        <v>13.1</v>
      </c>
      <c r="E6" s="1">
        <v>14</v>
      </c>
      <c r="F6" s="1">
        <v>22</v>
      </c>
      <c r="G6" s="1">
        <v>36.65</v>
      </c>
      <c r="H6" s="1">
        <v>19</v>
      </c>
      <c r="I6" s="1">
        <v>12</v>
      </c>
    </row>
    <row r="7" spans="1:9" x14ac:dyDescent="0.45">
      <c r="A7" s="2" t="s">
        <v>18</v>
      </c>
      <c r="B7" s="1">
        <f>AVERAGE(B2:B6)</f>
        <v>21.509999999999998</v>
      </c>
      <c r="C7" s="1">
        <f t="shared" ref="C7:I7" si="0">AVERAGE(C2:C6)</f>
        <v>20.09</v>
      </c>
      <c r="D7" s="1">
        <f t="shared" si="0"/>
        <v>13.11</v>
      </c>
      <c r="E7" s="1">
        <f t="shared" si="0"/>
        <v>13.969999999999999</v>
      </c>
      <c r="F7" s="1">
        <f t="shared" si="0"/>
        <v>22.2</v>
      </c>
      <c r="G7" s="1">
        <f t="shared" si="0"/>
        <v>36.64</v>
      </c>
      <c r="H7" s="1">
        <f t="shared" si="0"/>
        <v>19.009999999999998</v>
      </c>
      <c r="I7" s="1">
        <f t="shared" si="0"/>
        <v>11.959999999999999</v>
      </c>
    </row>
    <row r="8" spans="1:9" x14ac:dyDescent="0.45">
      <c r="A8" s="2" t="s">
        <v>8</v>
      </c>
      <c r="B8" s="1">
        <f>B7-0</f>
        <v>21.509999999999998</v>
      </c>
      <c r="C8" s="1">
        <f t="shared" ref="C8:I8" si="1">C7-0</f>
        <v>20.09</v>
      </c>
      <c r="D8" s="1">
        <f t="shared" si="1"/>
        <v>13.11</v>
      </c>
      <c r="E8" s="1">
        <f t="shared" si="1"/>
        <v>13.969999999999999</v>
      </c>
      <c r="F8" s="1">
        <f t="shared" si="1"/>
        <v>22.2</v>
      </c>
      <c r="G8" s="1">
        <f t="shared" si="1"/>
        <v>36.64</v>
      </c>
      <c r="H8" s="1">
        <f t="shared" si="1"/>
        <v>19.009999999999998</v>
      </c>
      <c r="I8" s="1">
        <f t="shared" si="1"/>
        <v>11.959999999999999</v>
      </c>
    </row>
    <row r="9" spans="1:9" x14ac:dyDescent="0.45">
      <c r="A9" s="2" t="s">
        <v>9</v>
      </c>
      <c r="B9">
        <f>_xlfn.STDEV.S(B2:B6)</f>
        <v>4.1833001326704373E-2</v>
      </c>
      <c r="C9">
        <f t="shared" ref="C9:I9" si="2">_xlfn.STDEV.S(C2:C6)</f>
        <v>0.39115214431215911</v>
      </c>
      <c r="D9">
        <f t="shared" si="2"/>
        <v>2.2360679774998216E-2</v>
      </c>
      <c r="E9">
        <f t="shared" si="2"/>
        <v>4.4721359549995732E-2</v>
      </c>
      <c r="F9">
        <f t="shared" si="2"/>
        <v>0.41982139059366624</v>
      </c>
      <c r="G9">
        <f t="shared" si="2"/>
        <v>4.183300132670395E-2</v>
      </c>
      <c r="H9">
        <f t="shared" si="2"/>
        <v>2.2360679774998216E-2</v>
      </c>
      <c r="I9">
        <f t="shared" si="2"/>
        <v>4.1833001326703735E-2</v>
      </c>
    </row>
    <row r="11" spans="1:9" x14ac:dyDescent="0.45">
      <c r="A11" s="2"/>
      <c r="B11" s="2" t="s">
        <v>10</v>
      </c>
      <c r="C11" s="2" t="s">
        <v>17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</row>
    <row r="12" spans="1:9" x14ac:dyDescent="0.45">
      <c r="A12" s="2">
        <v>1</v>
      </c>
      <c r="B12" s="1">
        <v>0.45</v>
      </c>
      <c r="C12" s="1">
        <v>0.51</v>
      </c>
      <c r="D12" s="1">
        <v>0.03</v>
      </c>
      <c r="E12" s="1">
        <v>0.11</v>
      </c>
      <c r="F12" s="1">
        <v>0.2</v>
      </c>
      <c r="G12" s="1">
        <v>0.28000000000000003</v>
      </c>
      <c r="H12" s="1">
        <v>0.38</v>
      </c>
      <c r="I12" s="1">
        <v>0.46</v>
      </c>
    </row>
    <row r="13" spans="1:9" x14ac:dyDescent="0.45">
      <c r="A13" s="2">
        <v>2</v>
      </c>
      <c r="B13" s="1">
        <v>0.4</v>
      </c>
      <c r="C13" s="1">
        <v>0.52</v>
      </c>
      <c r="D13" s="1">
        <v>0.03</v>
      </c>
      <c r="E13" s="1">
        <v>0.12</v>
      </c>
      <c r="F13" s="1">
        <v>0.2</v>
      </c>
      <c r="G13" s="1">
        <v>0.3</v>
      </c>
      <c r="H13" s="1">
        <v>0.4</v>
      </c>
      <c r="I13" s="1">
        <v>0.49</v>
      </c>
    </row>
    <row r="14" spans="1:9" x14ac:dyDescent="0.45">
      <c r="A14" s="2">
        <v>3</v>
      </c>
      <c r="B14" s="1">
        <v>0.4</v>
      </c>
      <c r="C14" s="1">
        <v>0.51</v>
      </c>
      <c r="D14" s="1">
        <v>0.03</v>
      </c>
      <c r="E14" s="1">
        <v>0.13</v>
      </c>
      <c r="F14" s="1">
        <v>0.21</v>
      </c>
      <c r="G14" s="1">
        <v>0.3</v>
      </c>
      <c r="H14" s="1">
        <v>0.4</v>
      </c>
      <c r="I14" s="1">
        <v>0.49</v>
      </c>
    </row>
    <row r="15" spans="1:9" x14ac:dyDescent="0.45">
      <c r="A15" s="2">
        <v>4</v>
      </c>
      <c r="B15" s="1">
        <v>0.45</v>
      </c>
      <c r="C15" s="1">
        <v>0.51</v>
      </c>
      <c r="D15" s="1">
        <v>0.03</v>
      </c>
      <c r="E15" s="1">
        <v>0.13</v>
      </c>
      <c r="F15" s="1">
        <v>0.22</v>
      </c>
      <c r="G15" s="1">
        <v>0.32</v>
      </c>
      <c r="H15" s="1">
        <v>0.39</v>
      </c>
      <c r="I15" s="1">
        <v>0.49</v>
      </c>
    </row>
    <row r="16" spans="1:9" x14ac:dyDescent="0.45">
      <c r="A16" s="2">
        <v>5</v>
      </c>
      <c r="B16" s="1">
        <v>0.4</v>
      </c>
      <c r="C16" s="1">
        <v>0.51</v>
      </c>
      <c r="D16" s="1">
        <v>0.03</v>
      </c>
      <c r="E16" s="1">
        <v>0.13</v>
      </c>
      <c r="F16" s="1">
        <v>0.22</v>
      </c>
      <c r="G16" s="1">
        <v>0.28999999999999998</v>
      </c>
      <c r="H16" s="1">
        <v>0.4</v>
      </c>
      <c r="I16" s="1">
        <v>0.51</v>
      </c>
    </row>
    <row r="17" spans="1:9" x14ac:dyDescent="0.45">
      <c r="A17" s="2" t="s">
        <v>18</v>
      </c>
      <c r="B17">
        <f>AVERAGE(B12:B16)</f>
        <v>0.42000000000000004</v>
      </c>
      <c r="C17">
        <f t="shared" ref="C17:I17" si="3">AVERAGE(C12:C16)</f>
        <v>0.5119999999999999</v>
      </c>
      <c r="D17">
        <f t="shared" si="3"/>
        <v>0.03</v>
      </c>
      <c r="E17">
        <f t="shared" si="3"/>
        <v>0.124</v>
      </c>
      <c r="F17">
        <f t="shared" si="3"/>
        <v>0.21000000000000002</v>
      </c>
      <c r="G17">
        <f t="shared" si="3"/>
        <v>0.29800000000000004</v>
      </c>
      <c r="H17">
        <f t="shared" si="3"/>
        <v>0.39400000000000002</v>
      </c>
      <c r="I17">
        <f t="shared" si="3"/>
        <v>0.48799999999999999</v>
      </c>
    </row>
    <row r="18" spans="1:9" x14ac:dyDescent="0.45">
      <c r="A18" s="2" t="s">
        <v>8</v>
      </c>
      <c r="B18">
        <f>(B17+0.07)</f>
        <v>0.49000000000000005</v>
      </c>
      <c r="C18">
        <f t="shared" ref="C18:I18" si="4">(C17+0.07)</f>
        <v>0.58199999999999985</v>
      </c>
      <c r="D18">
        <f t="shared" si="4"/>
        <v>0.1</v>
      </c>
      <c r="E18">
        <f t="shared" si="4"/>
        <v>0.19400000000000001</v>
      </c>
      <c r="F18">
        <f t="shared" si="4"/>
        <v>0.28000000000000003</v>
      </c>
      <c r="G18">
        <f t="shared" si="4"/>
        <v>0.36800000000000005</v>
      </c>
      <c r="H18">
        <f t="shared" si="4"/>
        <v>0.46400000000000002</v>
      </c>
      <c r="I18">
        <f t="shared" si="4"/>
        <v>0.55800000000000005</v>
      </c>
    </row>
    <row r="19" spans="1:9" x14ac:dyDescent="0.45">
      <c r="A19" s="2" t="s">
        <v>19</v>
      </c>
      <c r="B19">
        <f>_xlfn.STDEV.S(B12:B16)</f>
        <v>2.73861278752583E-2</v>
      </c>
      <c r="C19">
        <f t="shared" ref="C19:I19" si="5">_xlfn.STDEV.S(C12:C16)</f>
        <v>4.4721359549995841E-3</v>
      </c>
      <c r="D19">
        <f t="shared" si="5"/>
        <v>0</v>
      </c>
      <c r="E19">
        <f t="shared" si="5"/>
        <v>8.9442719099991613E-3</v>
      </c>
      <c r="F19">
        <f t="shared" si="5"/>
        <v>9.999999999999995E-3</v>
      </c>
      <c r="G19">
        <f t="shared" si="5"/>
        <v>1.4832396974191323E-2</v>
      </c>
      <c r="H19">
        <f t="shared" si="5"/>
        <v>8.9442719099991665E-3</v>
      </c>
      <c r="I19">
        <f t="shared" si="5"/>
        <v>1.7888543819998312E-2</v>
      </c>
    </row>
    <row r="21" spans="1:9" ht="29" customHeight="1" x14ac:dyDescent="0.45">
      <c r="A21" s="3" t="s">
        <v>21</v>
      </c>
      <c r="B21" s="2" t="s">
        <v>10</v>
      </c>
      <c r="C21" s="2" t="s">
        <v>17</v>
      </c>
      <c r="D21" s="2" t="s">
        <v>11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16</v>
      </c>
    </row>
    <row r="22" spans="1:9" x14ac:dyDescent="0.45">
      <c r="A22" s="2" t="s">
        <v>20</v>
      </c>
      <c r="B22">
        <v>0.49</v>
      </c>
      <c r="C22">
        <v>0.51200000000000001</v>
      </c>
      <c r="D22">
        <v>0.03</v>
      </c>
      <c r="E22">
        <v>0.124</v>
      </c>
      <c r="F22">
        <v>0.21</v>
      </c>
      <c r="G22">
        <v>0.29799999999999999</v>
      </c>
      <c r="H22">
        <v>0.39400000000000002</v>
      </c>
      <c r="I22">
        <v>0.48799999999999999</v>
      </c>
    </row>
    <row r="23" spans="1:9" x14ac:dyDescent="0.45">
      <c r="A23" s="2" t="s">
        <v>22</v>
      </c>
      <c r="B23">
        <v>4.9000000000000002E-2</v>
      </c>
      <c r="C23">
        <v>5.1200000000000002E-2</v>
      </c>
      <c r="D23">
        <v>3.0000000000000001E-3</v>
      </c>
      <c r="E23">
        <v>1.24E-2</v>
      </c>
      <c r="F23">
        <v>2.1000000000000001E-2</v>
      </c>
      <c r="G23">
        <v>2.98E-2</v>
      </c>
      <c r="H23">
        <v>3.9399999999999998E-2</v>
      </c>
      <c r="I23">
        <v>4.8800000000000003E-2</v>
      </c>
    </row>
    <row r="24" spans="1:9" x14ac:dyDescent="0.45">
      <c r="A24" s="2" t="s">
        <v>23</v>
      </c>
      <c r="B24">
        <v>4.8999999999999998E-4</v>
      </c>
      <c r="C24">
        <v>5.1199999999999998E-4</v>
      </c>
      <c r="D24">
        <v>3.0000000000000001E-5</v>
      </c>
      <c r="E24">
        <v>1.2400000000000001E-4</v>
      </c>
      <c r="F24">
        <v>2.1000000000000001E-4</v>
      </c>
      <c r="G24">
        <v>2.9799999999999998E-4</v>
      </c>
      <c r="H24">
        <v>3.9399999999999998E-4</v>
      </c>
      <c r="I24">
        <v>4.8799999999999999E-4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김동현</cp:lastModifiedBy>
  <dcterms:created xsi:type="dcterms:W3CDTF">2016-03-10T07:04:40Z</dcterms:created>
  <dcterms:modified xsi:type="dcterms:W3CDTF">2016-03-10T12:07:50Z</dcterms:modified>
</cp:coreProperties>
</file>